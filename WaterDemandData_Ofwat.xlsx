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Demand Data" sheetId="1" state="visible" r:id="rId1"/>
    <sheet xmlns:r="http://schemas.openxmlformats.org/officeDocument/2006/relationships" name="Demand Forecast Table" sheetId="2" state="visible" r:id="rId2"/>
    <sheet xmlns:r="http://schemas.openxmlformats.org/officeDocument/2006/relationships" name="Key Metric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5E8D4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</cols>
  <sheetData>
    <row r="1" ht="30" customHeight="1">
      <c r="A1" s="1" t="inlineStr">
        <is>
          <t>Pennon Group — Water Demand Analysis Dataset</t>
        </is>
      </c>
    </row>
    <row r="2" ht="18" customHeight="1">
      <c r="A2" s="2" t="inlineStr">
        <is>
          <t>Source: Ofwat Water Company Performance Report 2024-25 | Verified Annual Data | Prepared by J. Vorsu, May 2026</t>
        </is>
      </c>
    </row>
    <row r="4" ht="30" customHeight="1">
      <c r="A4" s="3" t="inlineStr">
        <is>
          <t>Company</t>
        </is>
      </c>
      <c r="B4" s="3" t="inlineStr">
        <is>
          <t>Year</t>
        </is>
      </c>
      <c r="C4" s="3" t="inlineStr">
        <is>
          <t>PCC (l/p/d)</t>
        </is>
      </c>
      <c r="D4" s="3" t="inlineStr">
        <is>
          <t>Leakage (Ml/day)</t>
        </is>
      </c>
      <c r="E4" s="3" t="inlineStr">
        <is>
          <t>PCC Target 2030</t>
        </is>
      </c>
      <c r="F4" s="3" t="inlineStr">
        <is>
          <t>PCC Target 2050</t>
        </is>
      </c>
      <c r="G4" s="3" t="inlineStr">
        <is>
          <t>PCC Gap to 2030</t>
        </is>
      </c>
      <c r="H4" s="3" t="inlineStr">
        <is>
          <t>PCC Gap to 2050</t>
        </is>
      </c>
    </row>
    <row r="5" ht="20" customHeight="1">
      <c r="A5" s="4" t="inlineStr">
        <is>
          <t>South West Water</t>
        </is>
      </c>
      <c r="B5" s="5" t="inlineStr">
        <is>
          <t>2019-20</t>
        </is>
      </c>
      <c r="C5" s="6" t="n">
        <v>144</v>
      </c>
      <c r="D5" s="6" t="n">
        <v>123.5</v>
      </c>
      <c r="E5" s="6" t="n">
        <v>130</v>
      </c>
      <c r="F5" s="6" t="n">
        <v>110</v>
      </c>
      <c r="G5" s="7">
        <f>C5-E5</f>
        <v/>
      </c>
      <c r="H5" s="7">
        <f>C5-F5</f>
        <v/>
      </c>
    </row>
    <row r="6" ht="20" customHeight="1">
      <c r="A6" s="4" t="inlineStr">
        <is>
          <t>South West Water</t>
        </is>
      </c>
      <c r="B6" s="5" t="inlineStr">
        <is>
          <t>2020-21</t>
        </is>
      </c>
      <c r="C6" s="6" t="n">
        <v>138.6</v>
      </c>
      <c r="D6" s="6" t="n">
        <v>136</v>
      </c>
      <c r="E6" s="6" t="n">
        <v>130</v>
      </c>
      <c r="F6" s="6" t="n">
        <v>110</v>
      </c>
      <c r="G6" s="7">
        <f>C6-E6</f>
        <v/>
      </c>
      <c r="H6" s="7">
        <f>C6-F6</f>
        <v/>
      </c>
    </row>
    <row r="7" ht="20" customHeight="1">
      <c r="A7" s="4" t="inlineStr">
        <is>
          <t>South West Water</t>
        </is>
      </c>
      <c r="B7" s="5" t="inlineStr">
        <is>
          <t>2021-22</t>
        </is>
      </c>
      <c r="C7" s="6" t="n">
        <v>143.6</v>
      </c>
      <c r="D7" s="6" t="n">
        <v>90.59999999999999</v>
      </c>
      <c r="E7" s="6" t="n">
        <v>130</v>
      </c>
      <c r="F7" s="6" t="n">
        <v>110</v>
      </c>
      <c r="G7" s="7">
        <f>C7-E7</f>
        <v/>
      </c>
      <c r="H7" s="7">
        <f>C7-F7</f>
        <v/>
      </c>
    </row>
    <row r="8" ht="20" customHeight="1">
      <c r="A8" s="4" t="inlineStr">
        <is>
          <t>South West Water</t>
        </is>
      </c>
      <c r="B8" s="5" t="inlineStr">
        <is>
          <t>2022-23</t>
        </is>
      </c>
      <c r="C8" s="6" t="n">
        <v>152.6</v>
      </c>
      <c r="D8" s="6" t="n">
        <v>112.2</v>
      </c>
      <c r="E8" s="6" t="n">
        <v>130</v>
      </c>
      <c r="F8" s="6" t="n">
        <v>110</v>
      </c>
      <c r="G8" s="7">
        <f>C8-E8</f>
        <v/>
      </c>
      <c r="H8" s="7">
        <f>C8-F8</f>
        <v/>
      </c>
    </row>
    <row r="9" ht="20" customHeight="1">
      <c r="A9" s="4" t="inlineStr">
        <is>
          <t>South West Water</t>
        </is>
      </c>
      <c r="B9" s="5" t="inlineStr">
        <is>
          <t>2023-24</t>
        </is>
      </c>
      <c r="C9" s="6" t="n">
        <v>147.3</v>
      </c>
      <c r="D9" s="6" t="n">
        <v>118.5</v>
      </c>
      <c r="E9" s="6" t="n">
        <v>130</v>
      </c>
      <c r="F9" s="6" t="n">
        <v>110</v>
      </c>
      <c r="G9" s="7">
        <f>C9-E9</f>
        <v/>
      </c>
      <c r="H9" s="7">
        <f>C9-F9</f>
        <v/>
      </c>
    </row>
    <row r="10" ht="20" customHeight="1">
      <c r="A10" s="4" t="inlineStr">
        <is>
          <t>South West Water</t>
        </is>
      </c>
      <c r="B10" s="5" t="inlineStr">
        <is>
          <t>2024-25</t>
        </is>
      </c>
      <c r="C10" s="6" t="n">
        <v>148.4</v>
      </c>
      <c r="D10" s="6" t="n">
        <v>107.8</v>
      </c>
      <c r="E10" s="6" t="n">
        <v>130</v>
      </c>
      <c r="F10" s="6" t="n">
        <v>110</v>
      </c>
      <c r="G10" s="7">
        <f>C10-E10</f>
        <v/>
      </c>
      <c r="H10" s="7">
        <f>C10-F10</f>
        <v/>
      </c>
    </row>
    <row r="11" ht="20" customHeight="1">
      <c r="A11" s="8" t="inlineStr">
        <is>
          <t>Bristol Water</t>
        </is>
      </c>
      <c r="B11" s="9" t="inlineStr">
        <is>
          <t>2019-20</t>
        </is>
      </c>
      <c r="C11" s="10" t="n">
        <v>146.4</v>
      </c>
      <c r="D11" s="10" t="n">
        <v>37</v>
      </c>
      <c r="E11" s="10" t="n">
        <v>130</v>
      </c>
      <c r="F11" s="10" t="n">
        <v>110</v>
      </c>
      <c r="G11" s="11">
        <f>C11-E11</f>
        <v/>
      </c>
      <c r="H11" s="11">
        <f>C11-F11</f>
        <v/>
      </c>
    </row>
    <row r="12" ht="20" customHeight="1">
      <c r="A12" s="8" t="inlineStr">
        <is>
          <t>Bristol Water</t>
        </is>
      </c>
      <c r="B12" s="9" t="inlineStr">
        <is>
          <t>2020-21</t>
        </is>
      </c>
      <c r="C12" s="10" t="n">
        <v>161.1</v>
      </c>
      <c r="D12" s="10" t="n">
        <v>35.5</v>
      </c>
      <c r="E12" s="10" t="n">
        <v>130</v>
      </c>
      <c r="F12" s="10" t="n">
        <v>110</v>
      </c>
      <c r="G12" s="11">
        <f>C12-E12</f>
        <v/>
      </c>
      <c r="H12" s="11">
        <f>C12-F12</f>
        <v/>
      </c>
    </row>
    <row r="13" ht="20" customHeight="1">
      <c r="A13" s="8" t="inlineStr">
        <is>
          <t>Bristol Water</t>
        </is>
      </c>
      <c r="B13" s="9" t="inlineStr">
        <is>
          <t>2021-22</t>
        </is>
      </c>
      <c r="C13" s="10" t="n">
        <v>154.7</v>
      </c>
      <c r="D13" s="10" t="n">
        <v>35.6</v>
      </c>
      <c r="E13" s="10" t="n">
        <v>130</v>
      </c>
      <c r="F13" s="10" t="n">
        <v>110</v>
      </c>
      <c r="G13" s="11">
        <f>C13-E13</f>
        <v/>
      </c>
      <c r="H13" s="11">
        <f>C13-F13</f>
        <v/>
      </c>
    </row>
    <row r="14" ht="20" customHeight="1">
      <c r="A14" s="8" t="inlineStr">
        <is>
          <t>Bristol Water</t>
        </is>
      </c>
      <c r="B14" s="9" t="inlineStr">
        <is>
          <t>2022-23</t>
        </is>
      </c>
      <c r="C14" s="10" t="n">
        <v>147</v>
      </c>
      <c r="D14" s="10" t="n">
        <v>40.6</v>
      </c>
      <c r="E14" s="10" t="n">
        <v>130</v>
      </c>
      <c r="F14" s="10" t="n">
        <v>110</v>
      </c>
      <c r="G14" s="11">
        <f>C14-E14</f>
        <v/>
      </c>
      <c r="H14" s="11">
        <f>C14-F14</f>
        <v/>
      </c>
    </row>
    <row r="15" ht="20" customHeight="1">
      <c r="A15" s="8" t="inlineStr">
        <is>
          <t>Bristol Water</t>
        </is>
      </c>
      <c r="B15" s="9" t="inlineStr">
        <is>
          <t>2023-24</t>
        </is>
      </c>
      <c r="C15" s="10" t="n">
        <v>144.7</v>
      </c>
      <c r="D15" s="10" t="n">
        <v>38.3</v>
      </c>
      <c r="E15" s="10" t="n">
        <v>130</v>
      </c>
      <c r="F15" s="10" t="n">
        <v>110</v>
      </c>
      <c r="G15" s="11">
        <f>C15-E15</f>
        <v/>
      </c>
      <c r="H15" s="11">
        <f>C15-F15</f>
        <v/>
      </c>
    </row>
    <row r="16" ht="20" customHeight="1">
      <c r="A16" s="8" t="inlineStr">
        <is>
          <t>Bristol Water</t>
        </is>
      </c>
      <c r="B16" s="9" t="inlineStr">
        <is>
          <t>2024-25</t>
        </is>
      </c>
      <c r="C16" s="10" t="n">
        <v>146.3</v>
      </c>
      <c r="D16" s="10" t="n">
        <v>36.7</v>
      </c>
      <c r="E16" s="10" t="n">
        <v>130</v>
      </c>
      <c r="F16" s="10" t="n">
        <v>110</v>
      </c>
      <c r="G16" s="11">
        <f>C16-E16</f>
        <v/>
      </c>
      <c r="H16" s="11">
        <f>C16-F16</f>
        <v/>
      </c>
    </row>
    <row r="17" ht="20" customHeight="1">
      <c r="A17" s="12" t="inlineStr">
        <is>
          <t>SES Water</t>
        </is>
      </c>
      <c r="B17" s="13" t="inlineStr">
        <is>
          <t>2019-20</t>
        </is>
      </c>
      <c r="C17" s="14" t="n">
        <v>143.3</v>
      </c>
      <c r="D17" s="14" t="n">
        <v>24.8</v>
      </c>
      <c r="E17" s="14" t="n">
        <v>130</v>
      </c>
      <c r="F17" s="14" t="n">
        <v>110</v>
      </c>
      <c r="G17" s="15">
        <f>C17-E17</f>
        <v/>
      </c>
      <c r="H17" s="15">
        <f>C17-F17</f>
        <v/>
      </c>
    </row>
    <row r="18" ht="20" customHeight="1">
      <c r="A18" s="12" t="inlineStr">
        <is>
          <t>SES Water</t>
        </is>
      </c>
      <c r="B18" s="13" t="inlineStr">
        <is>
          <t>2020-21</t>
        </is>
      </c>
      <c r="C18" s="14" t="n">
        <v>163.4</v>
      </c>
      <c r="D18" s="14" t="n">
        <v>25</v>
      </c>
      <c r="E18" s="14" t="n">
        <v>130</v>
      </c>
      <c r="F18" s="14" t="n">
        <v>110</v>
      </c>
      <c r="G18" s="15">
        <f>C18-E18</f>
        <v/>
      </c>
      <c r="H18" s="15">
        <f>C18-F18</f>
        <v/>
      </c>
    </row>
    <row r="19" ht="20" customHeight="1">
      <c r="A19" s="12" t="inlineStr">
        <is>
          <t>SES Water</t>
        </is>
      </c>
      <c r="B19" s="13" t="inlineStr">
        <is>
          <t>2021-22</t>
        </is>
      </c>
      <c r="C19" s="14" t="n">
        <v>151.5</v>
      </c>
      <c r="D19" s="14" t="n">
        <v>21.1</v>
      </c>
      <c r="E19" s="14" t="n">
        <v>130</v>
      </c>
      <c r="F19" s="14" t="n">
        <v>110</v>
      </c>
      <c r="G19" s="15">
        <f>C19-E19</f>
        <v/>
      </c>
      <c r="H19" s="15">
        <f>C19-F19</f>
        <v/>
      </c>
    </row>
    <row r="20" ht="20" customHeight="1">
      <c r="A20" s="12" t="inlineStr">
        <is>
          <t>SES Water</t>
        </is>
      </c>
      <c r="B20" s="13" t="inlineStr">
        <is>
          <t>2022-23</t>
        </is>
      </c>
      <c r="C20" s="14" t="n">
        <v>150.8</v>
      </c>
      <c r="D20" s="14" t="n">
        <v>22.8</v>
      </c>
      <c r="E20" s="14" t="n">
        <v>130</v>
      </c>
      <c r="F20" s="14" t="n">
        <v>110</v>
      </c>
      <c r="G20" s="15">
        <f>C20-E20</f>
        <v/>
      </c>
      <c r="H20" s="15">
        <f>C20-F20</f>
        <v/>
      </c>
    </row>
    <row r="21" ht="20" customHeight="1">
      <c r="A21" s="12" t="inlineStr">
        <is>
          <t>SES Water</t>
        </is>
      </c>
      <c r="B21" s="13" t="inlineStr">
        <is>
          <t>2023-24</t>
        </is>
      </c>
      <c r="C21" s="14" t="n">
        <v>146.4</v>
      </c>
      <c r="D21" s="14" t="n">
        <v>20.7</v>
      </c>
      <c r="E21" s="14" t="n">
        <v>130</v>
      </c>
      <c r="F21" s="14" t="n">
        <v>110</v>
      </c>
      <c r="G21" s="15">
        <f>C21-E21</f>
        <v/>
      </c>
      <c r="H21" s="15">
        <f>C21-F21</f>
        <v/>
      </c>
    </row>
    <row r="22" ht="20" customHeight="1">
      <c r="A22" s="12" t="inlineStr">
        <is>
          <t>SES Water</t>
        </is>
      </c>
      <c r="B22" s="13" t="inlineStr">
        <is>
          <t>2024-25</t>
        </is>
      </c>
      <c r="C22" s="14" t="n">
        <v>146.4</v>
      </c>
      <c r="D22" s="14" t="n">
        <v>20</v>
      </c>
      <c r="E22" s="14" t="n">
        <v>130</v>
      </c>
      <c r="F22" s="14" t="n">
        <v>110</v>
      </c>
      <c r="G22" s="15">
        <f>C22-E22</f>
        <v/>
      </c>
      <c r="H22" s="15">
        <f>C22-F22</f>
        <v/>
      </c>
    </row>
    <row r="24">
      <c r="A24" s="16" t="inlineStr">
        <is>
          <t>KEY NOTES FOR ANALYSIS</t>
        </is>
      </c>
    </row>
    <row r="25" ht="22" customHeight="1">
      <c r="A25" s="17" t="inlineStr">
        <is>
          <t>⚠ SWW Data Caveat: Ofwat opened an enforcement case into South West Water's reported leakage and PCC accuracy in May 2023. Figures may be subject to revision.</t>
        </is>
      </c>
    </row>
    <row r="26" ht="22" customHeight="1">
      <c r="A26" s="17" t="inlineStr">
        <is>
          <t>📈 COVID Impact: All three companies saw significant PCC spikes in 2020-21 (SES: 163.4, Bristol: 161.1, SWW: 138.6) due to increased home usage during lockdowns.</t>
        </is>
      </c>
    </row>
    <row r="27" ht="22" customHeight="1">
      <c r="A27" s="17" t="inlineStr">
        <is>
          <t>✅ SES Leakage Success: SES Water reduced leakage from 24.8 Ml/day (2019-20) to 20.0 Ml/day (2024-25) — already meeting its AMP7 leakage reduction commitment.</t>
        </is>
      </c>
    </row>
    <row r="28" ht="22" customHeight="1">
      <c r="A28" s="17" t="inlineStr">
        <is>
          <t>🎯 2050 Targets: Environment Act 2021 requires all companies to reach 110 l/p/d PCC and reduce leakage by 50% from 2017-18 baseline by 2050.</t>
        </is>
      </c>
    </row>
    <row r="29" ht="22" customHeight="1">
      <c r="A29" s="17" t="inlineStr">
        <is>
          <t>📋 Source: Ofwat Water Company Performance Report 2024-25 underlying data. Ofwat WCPR-data-report-2024-25-external-V0.2-Final.xlsx. Annual standardised performance figures.</t>
        </is>
      </c>
    </row>
  </sheetData>
  <mergeCells count="8">
    <mergeCell ref="A26:H26"/>
    <mergeCell ref="A29:H29"/>
    <mergeCell ref="A25:H25"/>
    <mergeCell ref="A24:H24"/>
    <mergeCell ref="A2:H2"/>
    <mergeCell ref="A28:H28"/>
    <mergeCell ref="A1:H1"/>
    <mergeCell ref="A27:H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30" customHeight="1">
      <c r="A1" s="1" t="inlineStr">
        <is>
          <t>Demand Reduction Gap Analysis — Pennon Group Portfolio</t>
        </is>
      </c>
    </row>
    <row r="2" ht="18" customHeight="1">
      <c r="A2" s="2" t="inlineStr">
        <is>
          <t>Shows distance each company must travel to meet Environment Act 2021 targets by 2030 and 2050</t>
        </is>
      </c>
    </row>
    <row r="4" ht="35" customHeight="1">
      <c r="A4" s="3" t="inlineStr">
        <is>
          <t>Company</t>
        </is>
      </c>
      <c r="B4" s="3" t="inlineStr">
        <is>
          <t>Current PCC
(2024-25)</t>
        </is>
      </c>
      <c r="C4" s="3" t="inlineStr">
        <is>
          <t>2030 Target
(l/p/d)</t>
        </is>
      </c>
      <c r="D4" s="3" t="inlineStr">
        <is>
          <t>2050 Target
(l/p/d)</t>
        </is>
      </c>
      <c r="E4" s="3" t="inlineStr">
        <is>
          <t>Gap to 2030
(l/p/d)</t>
        </is>
      </c>
      <c r="F4" s="3" t="inlineStr">
        <is>
          <t>Gap to 2050
(l/p/d)</t>
        </is>
      </c>
      <c r="G4" s="3" t="inlineStr">
        <is>
          <t>2050 Leakage
Target (Ml/day)</t>
        </is>
      </c>
    </row>
    <row r="5" ht="22" customHeight="1">
      <c r="A5" s="4" t="inlineStr">
        <is>
          <t>South West Water</t>
        </is>
      </c>
      <c r="B5" s="7" t="n">
        <v>148.4</v>
      </c>
      <c r="C5" s="7" t="n">
        <v>130</v>
      </c>
      <c r="D5" s="7" t="n">
        <v>110</v>
      </c>
      <c r="E5" s="7">
        <f>B5-C5</f>
        <v/>
      </c>
      <c r="F5" s="7">
        <f>B5-D5</f>
        <v/>
      </c>
      <c r="G5" s="7">
        <f>61.75</f>
        <v/>
      </c>
    </row>
    <row r="6" ht="22" customHeight="1">
      <c r="A6" s="8" t="inlineStr">
        <is>
          <t>Bristol Water</t>
        </is>
      </c>
      <c r="B6" s="11" t="n">
        <v>146.3</v>
      </c>
      <c r="C6" s="11" t="n">
        <v>130</v>
      </c>
      <c r="D6" s="11" t="n">
        <v>110</v>
      </c>
      <c r="E6" s="11">
        <f>B6-C6</f>
        <v/>
      </c>
      <c r="F6" s="11">
        <f>B6-D6</f>
        <v/>
      </c>
      <c r="G6" s="11">
        <f>18.5</f>
        <v/>
      </c>
    </row>
    <row r="7" ht="22" customHeight="1">
      <c r="A7" s="12" t="inlineStr">
        <is>
          <t>SES Water</t>
        </is>
      </c>
      <c r="B7" s="15" t="n">
        <v>146.4</v>
      </c>
      <c r="C7" s="15" t="n">
        <v>130</v>
      </c>
      <c r="D7" s="15" t="n">
        <v>110</v>
      </c>
      <c r="E7" s="15">
        <f>B7-C7</f>
        <v/>
      </c>
      <c r="F7" s="15">
        <f>B7-D7</f>
        <v/>
      </c>
      <c r="G7" s="15">
        <f>12.4</f>
        <v/>
      </c>
    </row>
    <row r="9" ht="22" customHeight="1">
      <c r="A9" s="2" t="inlineStr">
        <is>
          <t>Note: 2050 leakage targets = 50% reduction from 2019-20 baseline (SWW: 123.5, Bristol: 37.0, SES: 24.8 Ml/day)</t>
        </is>
      </c>
    </row>
  </sheetData>
  <mergeCells count="3">
    <mergeCell ref="A2:G2"/>
    <mergeCell ref="A1:G1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45" customWidth="1" min="4" max="4"/>
  </cols>
  <sheetData>
    <row r="1" ht="30" customHeight="1">
      <c r="A1" s="1" t="inlineStr">
        <is>
          <t>Key Regulatory Metrics — Quick Reference</t>
        </is>
      </c>
    </row>
    <row r="3" ht="22" customHeight="1">
      <c r="A3" s="3" t="inlineStr">
        <is>
          <t>Metric</t>
        </is>
      </c>
      <c r="B3" s="3" t="inlineStr">
        <is>
          <t>Value</t>
        </is>
      </c>
      <c r="C3" s="3" t="inlineStr">
        <is>
          <t>Source</t>
        </is>
      </c>
      <c r="D3" s="3" t="inlineStr">
        <is>
          <t>Significance</t>
        </is>
      </c>
    </row>
    <row r="4" ht="22" customHeight="1">
      <c r="A4" s="18" t="inlineStr">
        <is>
          <t>Environment Act 2050 PCC Target</t>
        </is>
      </c>
      <c r="B4" s="19" t="inlineStr">
        <is>
          <t>110 l/p/d</t>
        </is>
      </c>
      <c r="C4" s="19" t="inlineStr">
        <is>
          <t>Environment Act 2021</t>
        </is>
      </c>
      <c r="D4" s="19" t="inlineStr">
        <is>
          <t>All companies must reach this by 2050</t>
        </is>
      </c>
    </row>
    <row r="5" ht="22" customHeight="1">
      <c r="A5" s="18" t="inlineStr">
        <is>
          <t>2030 Interim PCC Target</t>
        </is>
      </c>
      <c r="B5" s="19" t="inlineStr">
        <is>
          <t>130 l/p/d</t>
        </is>
      </c>
      <c r="C5" s="19" t="inlineStr">
        <is>
          <t>Ofwat PR24</t>
        </is>
      </c>
      <c r="D5" s="19" t="inlineStr">
        <is>
          <t>AMP8 milestone — currently all 3 companies above this</t>
        </is>
      </c>
    </row>
    <row r="6" ht="22" customHeight="1">
      <c r="A6" s="18" t="inlineStr">
        <is>
          <t>Leakage Reduction Target by 2050</t>
        </is>
      </c>
      <c r="B6" s="19" t="inlineStr">
        <is>
          <t>50% from 2017-18 baseline</t>
        </is>
      </c>
      <c r="C6" s="19" t="inlineStr">
        <is>
          <t>Environment Act 2021</t>
        </is>
      </c>
      <c r="D6" s="19" t="inlineStr">
        <is>
          <t>Sector-wide commitment</t>
        </is>
      </c>
    </row>
    <row r="7" ht="22" customHeight="1">
      <c r="A7" s="18" t="inlineStr">
        <is>
          <t>AMP8 Period</t>
        </is>
      </c>
      <c r="B7" s="19" t="inlineStr">
        <is>
          <t>2025-2030</t>
        </is>
      </c>
      <c r="C7" s="19" t="inlineStr">
        <is>
          <t>Ofwat PR24</t>
        </is>
      </c>
      <c r="D7" s="19" t="inlineStr">
        <is>
          <t>Current regulatory period — key delivery window</t>
        </is>
      </c>
    </row>
    <row r="8" ht="22" customHeight="1">
      <c r="A8" s="18" t="inlineStr">
        <is>
          <t>SWW Current PCC (2024-25)</t>
        </is>
      </c>
      <c r="B8" s="19" t="inlineStr">
        <is>
          <t>148.4 l/p/d</t>
        </is>
      </c>
      <c r="C8" s="19" t="inlineStr">
        <is>
          <t>Ofwat WCPR 2024-25</t>
        </is>
      </c>
      <c r="D8" s="19" t="inlineStr">
        <is>
          <t>18.4 l/p/d above 2030 target</t>
        </is>
      </c>
    </row>
    <row r="9" ht="22" customHeight="1">
      <c r="A9" s="18" t="inlineStr">
        <is>
          <t>Bristol Current PCC (2024-25)</t>
        </is>
      </c>
      <c r="B9" s="19" t="inlineStr">
        <is>
          <t>146.3 l/p/d</t>
        </is>
      </c>
      <c r="C9" s="19" t="inlineStr">
        <is>
          <t>Ofwat WCPR 2024-25</t>
        </is>
      </c>
      <c r="D9" s="19" t="inlineStr">
        <is>
          <t>16.3 l/p/d above 2030 target</t>
        </is>
      </c>
    </row>
    <row r="10" ht="22" customHeight="1">
      <c r="A10" s="18" t="inlineStr">
        <is>
          <t>SES Current PCC (2024-25)</t>
        </is>
      </c>
      <c r="B10" s="19" t="inlineStr">
        <is>
          <t>146.4 l/p/d</t>
        </is>
      </c>
      <c r="C10" s="19" t="inlineStr">
        <is>
          <t>Ofwat WCPR 2024-25</t>
        </is>
      </c>
      <c r="D10" s="19" t="inlineStr">
        <is>
          <t>16.4 l/p/d above 2030 target</t>
        </is>
      </c>
    </row>
    <row r="11" ht="22" customHeight="1">
      <c r="A11" s="18" t="inlineStr">
        <is>
          <t>SWW Current Leakage (2024-25)</t>
        </is>
      </c>
      <c r="B11" s="19" t="inlineStr">
        <is>
          <t>107.8 Ml/day</t>
        </is>
      </c>
      <c r="C11" s="19" t="inlineStr">
        <is>
          <t>Ofwat WCPR 2024-25</t>
        </is>
      </c>
      <c r="D11" s="19" t="inlineStr">
        <is>
          <t>Target by 2050: 61.75 Ml/day</t>
        </is>
      </c>
    </row>
    <row r="12" ht="22" customHeight="1">
      <c r="A12" s="18" t="inlineStr">
        <is>
          <t>SES Leakage Achievement</t>
        </is>
      </c>
      <c r="B12" s="19" t="inlineStr">
        <is>
          <t>20.0 Ml/day</t>
        </is>
      </c>
      <c r="C12" s="19" t="inlineStr">
        <is>
          <t>Ofwat WCPR 2024-25</t>
        </is>
      </c>
      <c r="D12" s="19" t="inlineStr">
        <is>
          <t>SES has already met AMP7 leakage target</t>
        </is>
      </c>
    </row>
    <row r="13" ht="22" customHeight="1">
      <c r="A13" s="18" t="inlineStr">
        <is>
          <t>Ofwat Enforcement Case (SWW)</t>
        </is>
      </c>
      <c r="B13" s="19" t="inlineStr">
        <is>
          <t>Opened May 2023</t>
        </is>
      </c>
      <c r="C13" s="19" t="inlineStr">
        <is>
          <t>Ofwat</t>
        </is>
      </c>
      <c r="D13" s="19" t="inlineStr">
        <is>
          <t>SWW PCC and leakage data under investigation — figures may be revised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2026-05-22T16:56:47Z</dcterms:created>
  <dcterms:modified xmlns:dcterms="http://purl.org/dc/terms/" xmlns:xsi="http://www.w3.org/2001/XMLSchema-instance" xsi:type="dcterms:W3CDTF">2026-05-22T16:56:47Z</dcterms:modified>
</cp:coreProperties>
</file>